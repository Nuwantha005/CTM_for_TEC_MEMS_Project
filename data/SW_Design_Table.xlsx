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ester 7\ME4311 - MicroNano Electro Mechanical Systems and Nanotechnology\Project\Preliminary Optimization\Algorithm\data\"/>
    </mc:Choice>
  </mc:AlternateContent>
  <xr:revisionPtr revIDLastSave="0" documentId="13_ncr:1_{B068CBDE-F9A4-4CA4-BE91-FC5800E72B7C}" xr6:coauthVersionLast="47" xr6:coauthVersionMax="47" xr10:uidLastSave="{00000000-0000-0000-0000-000000000000}"/>
  <bookViews>
    <workbookView xWindow="6765" yWindow="1755" windowWidth="18630" windowHeight="12300" xr2:uid="{5AB1F545-5535-4F5F-A93D-6BF0401B2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B3" i="1" a="1"/>
  <c r="B3" i="1" s="1"/>
  <c r="B2" i="1" a="1"/>
  <c r="B2" i="1" s="1"/>
  <c r="C2" i="1" a="1"/>
  <c r="C2" i="1" s="1"/>
  <c r="D2" i="1" a="1"/>
  <c r="D2" i="1" s="1"/>
  <c r="E2" i="1" a="1"/>
  <c r="E2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<sst xmlns="http://schemas.openxmlformats.org/spreadsheetml/2006/main" count="15" uniqueCount="11">
  <si>
    <t>Stage</t>
  </si>
  <si>
    <t>L_i</t>
  </si>
  <si>
    <t>r_in</t>
  </si>
  <si>
    <t>r_out</t>
  </si>
  <si>
    <t>w_ic</t>
  </si>
  <si>
    <t>w_oc</t>
  </si>
  <si>
    <t>2</t>
  </si>
  <si>
    <t>=r_out[1]+w_is</t>
  </si>
  <si>
    <t>...</t>
  </si>
  <si>
    <t>=r_out[2]+w_is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</si>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</sst>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2E24-1486-4E86-9DB5-1DA71F1C1877}">
  <dimension ref="A1:F4"/>
  <sheetViews>
    <sheetView tabSelected="1" zoomScale="145" zoomScaleNormal="145" workbookViewId="0">
      <selection activeCell="C7" sqref="C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e" cm="1">
        <f t="array" ref="B2">L_1</f>
        <v>#NAME?</v>
      </c>
      <c r="C2" t="e" cm="1">
        <f t="array" ref="C2">R_cyl</f>
        <v>#NAME?</v>
      </c>
      <c r="D2" t="e" cm="1">
        <f t="array" ref="D2">R_cyl+L_1</f>
        <v>#NAME?</v>
      </c>
      <c r="E2" t="e" cm="1">
        <f t="array" ref="E2">L_1*0.15</f>
        <v>#NAME?</v>
      </c>
      <c r="F2" t="e" cm="1">
        <f t="array" ref="F2">L_1*0.15</f>
        <v>#NAME?</v>
      </c>
    </row>
    <row r="3" spans="1:6" x14ac:dyDescent="0.25">
      <c r="A3" t="s">
        <v>6</v>
      </c>
      <c r="B3" t="e" cm="1">
        <f t="array" ref="B3">L_1*k_r</f>
        <v>#NAME?</v>
      </c>
      <c r="C3" t="s">
        <v>7</v>
      </c>
      <c r="D3" t="s">
        <v>10</v>
      </c>
      <c r="E3" t="s">
        <v>8</v>
      </c>
      <c r="F3" t="s">
        <v>8</v>
      </c>
    </row>
    <row r="4" spans="1:6" x14ac:dyDescent="0.25">
      <c r="A4">
        <v>3</v>
      </c>
      <c r="B4" t="e" cm="1">
        <f t="array" ref="B4">L_1*k_r^2</f>
        <v>#NAME?</v>
      </c>
      <c r="C4" t="s">
        <v>9</v>
      </c>
      <c r="D4" t="s">
        <v>8</v>
      </c>
      <c r="E4" t="s">
        <v>8</v>
      </c>
      <c r="F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Nuwantha Kumara</dc:creator>
  <cp:lastModifiedBy>Nuwantha Kumara</cp:lastModifiedBy>
  <dcterms:created xsi:type="dcterms:W3CDTF">2025-11-27T10:57:04Z</dcterms:created>
  <dcterms:modified xsi:type="dcterms:W3CDTF">2025-11-27T11:02:06Z</dcterms:modified>
</cp:coreProperties>
</file>