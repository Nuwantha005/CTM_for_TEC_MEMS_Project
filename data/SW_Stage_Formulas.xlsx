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ester 7\ME4311 - MicroNano Electro Mechanical Systems and Nanotechnology\Project\Preliminary Optimization\Algorithm\data\"/>
    </mc:Choice>
  </mc:AlternateContent>
  <xr:revisionPtr revIDLastSave="0" documentId="8_{80928742-6FAA-4A64-98C1-ED24FFDD8E79}" xr6:coauthVersionLast="47" xr6:coauthVersionMax="47" xr10:uidLastSave="{00000000-0000-0000-0000-000000000000}"/>
  <bookViews>
    <workbookView xWindow="6765" yWindow="1755" windowWidth="18630" windowHeight="12300" xr2:uid="{6C768324-D00E-44E7-8229-6BA5BB6C71FC}"/>
  </bookViews>
  <sheets>
    <sheet name="SW_Stage_Formulas" sheetId="1" r:id="rId1"/>
  </sheets>
  <calcPr calcId="0"/>
</workbook>
</file>

<file path=xl/calcChain.xml><?xml version="1.0" encoding="utf-8"?>
<calcChain xmlns="http://schemas.openxmlformats.org/spreadsheetml/2006/main">
  <c r="B2" i="1" l="1"/>
  <c r="E2" i="1" s="1"/>
  <c r="C2" i="1"/>
  <c r="D2" i="1" s="1"/>
  <c r="C3" i="1" s="1"/>
  <c r="G2" i="1"/>
  <c r="B3" i="1"/>
  <c r="E3" i="1"/>
  <c r="F3" i="1"/>
  <c r="G3" i="1"/>
  <c r="B4" i="1"/>
  <c r="E4" i="1" s="1"/>
  <c r="B5" i="1"/>
  <c r="E5" i="1"/>
  <c r="F5" i="1"/>
  <c r="G5" i="1"/>
  <c r="B6" i="1"/>
  <c r="F6" i="1" s="1"/>
  <c r="E6" i="1"/>
  <c r="B7" i="1"/>
  <c r="E7" i="1"/>
  <c r="F7" i="1"/>
  <c r="G7" i="1"/>
  <c r="B8" i="1"/>
  <c r="E8" i="1"/>
  <c r="F8" i="1"/>
  <c r="G8" i="1"/>
  <c r="B9" i="1"/>
  <c r="F9" i="1" s="1"/>
  <c r="G9" i="1"/>
  <c r="B10" i="1"/>
  <c r="F10" i="1" s="1"/>
  <c r="B11" i="1"/>
  <c r="E11" i="1" s="1"/>
  <c r="B12" i="1"/>
  <c r="E12" i="1"/>
  <c r="F12" i="1"/>
  <c r="G12" i="1"/>
  <c r="B13" i="1"/>
  <c r="E13" i="1" s="1"/>
  <c r="C27" i="1"/>
  <c r="C28" i="1"/>
  <c r="D3" i="1" l="1"/>
  <c r="C4" i="1" s="1"/>
  <c r="J3" i="1"/>
  <c r="G10" i="1"/>
  <c r="G11" i="1"/>
  <c r="E9" i="1"/>
  <c r="F2" i="1"/>
  <c r="E10" i="1"/>
  <c r="G4" i="1"/>
  <c r="J2" i="1"/>
  <c r="F11" i="1"/>
  <c r="G13" i="1"/>
  <c r="F4" i="1"/>
  <c r="F13" i="1"/>
  <c r="G6" i="1"/>
  <c r="D4" i="1" l="1"/>
  <c r="C5" i="1" s="1"/>
  <c r="J4" i="1"/>
  <c r="D5" i="1" l="1"/>
  <c r="C6" i="1" s="1"/>
  <c r="J5" i="1"/>
  <c r="D6" i="1" l="1"/>
  <c r="C7" i="1" s="1"/>
  <c r="J6" i="1"/>
  <c r="J7" i="1" l="1"/>
  <c r="D7" i="1"/>
  <c r="C8" i="1" s="1"/>
  <c r="J8" i="1" l="1"/>
  <c r="D8" i="1"/>
  <c r="C9" i="1" s="1"/>
  <c r="D9" i="1" l="1"/>
  <c r="C10" i="1" s="1"/>
  <c r="J9" i="1"/>
  <c r="J10" i="1" l="1"/>
  <c r="D10" i="1"/>
  <c r="C11" i="1" s="1"/>
  <c r="D11" i="1" l="1"/>
  <c r="C12" i="1" s="1"/>
  <c r="J11" i="1"/>
  <c r="J12" i="1" l="1"/>
  <c r="D12" i="1"/>
  <c r="C13" i="1" s="1"/>
  <c r="J13" i="1" l="1"/>
  <c r="D13" i="1"/>
</calcChain>
</file>

<file path=xl/sharedStrings.xml><?xml version="1.0" encoding="utf-8"?>
<sst xmlns="http://schemas.openxmlformats.org/spreadsheetml/2006/main" count="80" uniqueCount="79">
  <si>
    <t>Stage</t>
  </si>
  <si>
    <t>L_i_um</t>
  </si>
  <si>
    <t>r_in_um</t>
  </si>
  <si>
    <t>r_out_um</t>
  </si>
  <si>
    <t>w_ic_um</t>
  </si>
  <si>
    <t>w_oc_um</t>
  </si>
  <si>
    <t>w_az_um</t>
  </si>
  <si>
    <t>Formula_L_i</t>
  </si>
  <si>
    <t>Formula_r_in</t>
  </si>
  <si>
    <t>Formula_r_out</t>
  </si>
  <si>
    <t>=$L_1</t>
  </si>
  <si>
    <t>=$R_cyl+$w_is</t>
  </si>
  <si>
    <t>=$L_1*$k_r^1</t>
  </si>
  <si>
    <t>=D2+$w_is</t>
  </si>
  <si>
    <t>=$L_1*$k_r^2</t>
  </si>
  <si>
    <t>=D3+$w_is</t>
  </si>
  <si>
    <t>=$L_1*$k_r^3</t>
  </si>
  <si>
    <t>=D4+$w_is</t>
  </si>
  <si>
    <t>=$L_1*$k_r^4</t>
  </si>
  <si>
    <t>=D5+$w_is</t>
  </si>
  <si>
    <t>=$L_1*$k_r^5</t>
  </si>
  <si>
    <t>=D6+$w_is</t>
  </si>
  <si>
    <t>=$L_1*$k_r^6</t>
  </si>
  <si>
    <t>=D7+$w_is</t>
  </si>
  <si>
    <t>=$L_1*$k_r^7</t>
  </si>
  <si>
    <t>=D8+$w_is</t>
  </si>
  <si>
    <t>=$L_1*$k_r^8</t>
  </si>
  <si>
    <t>=D9+$w_is</t>
  </si>
  <si>
    <t>=$L_1*$k_r^9</t>
  </si>
  <si>
    <t>=D10+$w_is</t>
  </si>
  <si>
    <t>=$L_1*$k_r^10</t>
  </si>
  <si>
    <t>=D11+$w_is</t>
  </si>
  <si>
    <t>=$L_1*$k_r^11</t>
  </si>
  <si>
    <t>=D12+$w_is</t>
  </si>
  <si>
    <t>---GLOBAL VARIABLES (Define in SolidWorks first)---</t>
  </si>
  <si>
    <t>Variable</t>
  </si>
  <si>
    <t>Value</t>
  </si>
  <si>
    <t>Formula</t>
  </si>
  <si>
    <t>Description</t>
  </si>
  <si>
    <t>N_stages</t>
  </si>
  <si>
    <t>Number of TEC stages (1-12)</t>
  </si>
  <si>
    <t>w_chip_um</t>
  </si>
  <si>
    <t>Chip width in micrometers</t>
  </si>
  <si>
    <t>R_cyl_um</t>
  </si>
  <si>
    <t>Inner cylinder radius in micrometers</t>
  </si>
  <si>
    <t>k_r</t>
  </si>
  <si>
    <t>Radial expansion factor</t>
  </si>
  <si>
    <t>theta_deg</t>
  </si>
  <si>
    <t>Wedge angle in degrees</t>
  </si>
  <si>
    <t>t_TEC_um</t>
  </si>
  <si>
    <t>TEC element thickness in micrometers</t>
  </si>
  <si>
    <t>w_is_um</t>
  </si>
  <si>
    <t>Inter-stage insulation width in micrometers</t>
  </si>
  <si>
    <t>fill_factor</t>
  </si>
  <si>
    <t>TE material fill factor (0.8-0.99)</t>
  </si>
  <si>
    <t>ic_ratio</t>
  </si>
  <si>
    <t>Interconnect width ratio (0.1-0.35)</t>
  </si>
  <si>
    <t>oc_ratio</t>
  </si>
  <si>
    <t>Outerconnect width ratio (0.1-0.35)</t>
  </si>
  <si>
    <t>R_base_um</t>
  </si>
  <si>
    <t>Calculated base radius</t>
  </si>
  <si>
    <t>L_total_um</t>
  </si>
  <si>
    <t>Total active length</t>
  </si>
  <si>
    <t>L_1_um</t>
  </si>
  <si>
    <t>=IF(k_r=1; L_total_um/N_stages; L_total_um*(1-k_r)/(1-k_r^N_stages))</t>
  </si>
  <si>
    <t>Stage 1 length</t>
  </si>
  <si>
    <t>---PRE-CALCULATED VALUES FOR REFERENCE (k_r=1.15)---</t>
  </si>
  <si>
    <t>L_1</t>
  </si>
  <si>
    <t>L_2</t>
  </si>
  <si>
    <t>L_3</t>
  </si>
  <si>
    <t>L_4</t>
  </si>
  <si>
    <t>L_5</t>
  </si>
  <si>
    <t>L_6</t>
  </si>
  <si>
    <t>L_7</t>
  </si>
  <si>
    <t>L_8</t>
  </si>
  <si>
    <t>L_9</t>
  </si>
  <si>
    <t>L_10</t>
  </si>
  <si>
    <t>L_11</t>
  </si>
  <si>
    <t>L_12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</si>
</sst>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FF8E-BC12-4896-BF89-E725F9B6EF56}">
  <dimension ref="A1:M44"/>
  <sheetViews>
    <sheetView tabSelected="1" topLeftCell="A10" workbookViewId="0">
      <selection activeCell="O19" sqref="O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e">
        <f>L_1</f>
        <v>#NAME?</v>
      </c>
      <c r="C2" t="e">
        <f>R_cyl+w_is</f>
        <v>#NAME?</v>
      </c>
      <c r="D2" t="e">
        <f t="shared" ref="D2:D13" si="0">C2+B2</f>
        <v>#NAME?</v>
      </c>
      <c r="E2" t="e">
        <f t="shared" ref="E2:E13" si="1">B2*ic_ratio</f>
        <v>#NAME?</v>
      </c>
      <c r="F2" t="e">
        <f t="shared" ref="F2:F13" si="2">B2*oc_ratio</f>
        <v>#NAME?</v>
      </c>
      <c r="G2" t="e">
        <f t="shared" ref="G2:G13" si="3">(1-fill_factor)*B2*0.577</f>
        <v>#NAME?</v>
      </c>
      <c r="H2" t="s">
        <v>10</v>
      </c>
      <c r="I2" t="s">
        <v>11</v>
      </c>
      <c r="J2" t="e">
        <f t="shared" ref="J2:J13" si="4">C2+B2</f>
        <v>#NAME?</v>
      </c>
    </row>
    <row r="3" spans="1:10" x14ac:dyDescent="0.25">
      <c r="A3">
        <v>2</v>
      </c>
      <c r="B3" t="e">
        <f>L_1*k_r^1</f>
        <v>#NAME?</v>
      </c>
      <c r="C3" t="e">
        <f t="shared" ref="C3:C13" si="5">D2+w_is</f>
        <v>#NAME?</v>
      </c>
      <c r="D3" t="e">
        <f t="shared" si="0"/>
        <v>#NAME?</v>
      </c>
      <c r="E3" t="e">
        <f t="shared" si="1"/>
        <v>#NAME?</v>
      </c>
      <c r="F3" t="e">
        <f t="shared" si="2"/>
        <v>#NAME?</v>
      </c>
      <c r="G3" t="e">
        <f t="shared" si="3"/>
        <v>#NAME?</v>
      </c>
      <c r="H3" t="s">
        <v>12</v>
      </c>
      <c r="I3" t="s">
        <v>13</v>
      </c>
      <c r="J3" t="e">
        <f t="shared" si="4"/>
        <v>#NAME?</v>
      </c>
    </row>
    <row r="4" spans="1:10" x14ac:dyDescent="0.25">
      <c r="A4">
        <v>3</v>
      </c>
      <c r="B4" t="e">
        <f>L_1*k_r^2</f>
        <v>#NAME?</v>
      </c>
      <c r="C4" t="e">
        <f t="shared" si="5"/>
        <v>#NAME?</v>
      </c>
      <c r="D4" t="e">
        <f t="shared" si="0"/>
        <v>#NAME?</v>
      </c>
      <c r="E4" t="e">
        <f t="shared" si="1"/>
        <v>#NAME?</v>
      </c>
      <c r="F4" t="e">
        <f t="shared" si="2"/>
        <v>#NAME?</v>
      </c>
      <c r="G4" t="e">
        <f t="shared" si="3"/>
        <v>#NAME?</v>
      </c>
      <c r="H4" t="s">
        <v>14</v>
      </c>
      <c r="I4" t="s">
        <v>15</v>
      </c>
      <c r="J4" t="e">
        <f t="shared" si="4"/>
        <v>#NAME?</v>
      </c>
    </row>
    <row r="5" spans="1:10" x14ac:dyDescent="0.25">
      <c r="A5">
        <v>4</v>
      </c>
      <c r="B5" t="e">
        <f>L_1*k_r^3</f>
        <v>#NAME?</v>
      </c>
      <c r="C5" t="e">
        <f t="shared" si="5"/>
        <v>#NAME?</v>
      </c>
      <c r="D5" t="e">
        <f t="shared" si="0"/>
        <v>#NAME?</v>
      </c>
      <c r="E5" t="e">
        <f t="shared" si="1"/>
        <v>#NAME?</v>
      </c>
      <c r="F5" t="e">
        <f t="shared" si="2"/>
        <v>#NAME?</v>
      </c>
      <c r="G5" t="e">
        <f t="shared" si="3"/>
        <v>#NAME?</v>
      </c>
      <c r="H5" t="s">
        <v>16</v>
      </c>
      <c r="I5" t="s">
        <v>17</v>
      </c>
      <c r="J5" t="e">
        <f t="shared" si="4"/>
        <v>#NAME?</v>
      </c>
    </row>
    <row r="6" spans="1:10" x14ac:dyDescent="0.25">
      <c r="A6">
        <v>5</v>
      </c>
      <c r="B6" t="e">
        <f>L_1*k_r^4</f>
        <v>#NAME?</v>
      </c>
      <c r="C6" t="e">
        <f t="shared" si="5"/>
        <v>#NAME?</v>
      </c>
      <c r="D6" t="e">
        <f t="shared" si="0"/>
        <v>#NAME?</v>
      </c>
      <c r="E6" t="e">
        <f t="shared" si="1"/>
        <v>#NAME?</v>
      </c>
      <c r="F6" t="e">
        <f t="shared" si="2"/>
        <v>#NAME?</v>
      </c>
      <c r="G6" t="e">
        <f t="shared" si="3"/>
        <v>#NAME?</v>
      </c>
      <c r="H6" t="s">
        <v>18</v>
      </c>
      <c r="I6" t="s">
        <v>19</v>
      </c>
      <c r="J6" t="e">
        <f t="shared" si="4"/>
        <v>#NAME?</v>
      </c>
    </row>
    <row r="7" spans="1:10" x14ac:dyDescent="0.25">
      <c r="A7">
        <v>6</v>
      </c>
      <c r="B7" t="e">
        <f>L_1*k_r^5</f>
        <v>#NAME?</v>
      </c>
      <c r="C7" t="e">
        <f t="shared" si="5"/>
        <v>#NAME?</v>
      </c>
      <c r="D7" t="e">
        <f t="shared" si="0"/>
        <v>#NAME?</v>
      </c>
      <c r="E7" t="e">
        <f t="shared" si="1"/>
        <v>#NAME?</v>
      </c>
      <c r="F7" t="e">
        <f t="shared" si="2"/>
        <v>#NAME?</v>
      </c>
      <c r="G7" t="e">
        <f t="shared" si="3"/>
        <v>#NAME?</v>
      </c>
      <c r="H7" t="s">
        <v>20</v>
      </c>
      <c r="I7" t="s">
        <v>21</v>
      </c>
      <c r="J7" t="e">
        <f t="shared" si="4"/>
        <v>#NAME?</v>
      </c>
    </row>
    <row r="8" spans="1:10" x14ac:dyDescent="0.25">
      <c r="A8">
        <v>7</v>
      </c>
      <c r="B8" t="e">
        <f>L_1*k_r^6</f>
        <v>#NAME?</v>
      </c>
      <c r="C8" t="e">
        <f t="shared" si="5"/>
        <v>#NAME?</v>
      </c>
      <c r="D8" t="e">
        <f t="shared" si="0"/>
        <v>#NAME?</v>
      </c>
      <c r="E8" t="e">
        <f t="shared" si="1"/>
        <v>#NAME?</v>
      </c>
      <c r="F8" t="e">
        <f t="shared" si="2"/>
        <v>#NAME?</v>
      </c>
      <c r="G8" t="e">
        <f t="shared" si="3"/>
        <v>#NAME?</v>
      </c>
      <c r="H8" t="s">
        <v>22</v>
      </c>
      <c r="I8" t="s">
        <v>23</v>
      </c>
      <c r="J8" t="e">
        <f t="shared" si="4"/>
        <v>#NAME?</v>
      </c>
    </row>
    <row r="9" spans="1:10" x14ac:dyDescent="0.25">
      <c r="A9">
        <v>8</v>
      </c>
      <c r="B9" t="e">
        <f>L_1*k_r^7</f>
        <v>#NAME?</v>
      </c>
      <c r="C9" t="e">
        <f t="shared" si="5"/>
        <v>#NAME?</v>
      </c>
      <c r="D9" t="e">
        <f t="shared" si="0"/>
        <v>#NAME?</v>
      </c>
      <c r="E9" t="e">
        <f t="shared" si="1"/>
        <v>#NAME?</v>
      </c>
      <c r="F9" t="e">
        <f t="shared" si="2"/>
        <v>#NAME?</v>
      </c>
      <c r="G9" t="e">
        <f t="shared" si="3"/>
        <v>#NAME?</v>
      </c>
      <c r="H9" t="s">
        <v>24</v>
      </c>
      <c r="I9" t="s">
        <v>25</v>
      </c>
      <c r="J9" t="e">
        <f t="shared" si="4"/>
        <v>#NAME?</v>
      </c>
    </row>
    <row r="10" spans="1:10" x14ac:dyDescent="0.25">
      <c r="A10">
        <v>9</v>
      </c>
      <c r="B10" t="e">
        <f>L_1*k_r^8</f>
        <v>#NAME?</v>
      </c>
      <c r="C10" t="e">
        <f t="shared" si="5"/>
        <v>#NAME?</v>
      </c>
      <c r="D10" t="e">
        <f t="shared" si="0"/>
        <v>#NAME?</v>
      </c>
      <c r="E10" t="e">
        <f t="shared" si="1"/>
        <v>#NAME?</v>
      </c>
      <c r="F10" t="e">
        <f t="shared" si="2"/>
        <v>#NAME?</v>
      </c>
      <c r="G10" t="e">
        <f t="shared" si="3"/>
        <v>#NAME?</v>
      </c>
      <c r="H10" t="s">
        <v>26</v>
      </c>
      <c r="I10" t="s">
        <v>27</v>
      </c>
      <c r="J10" t="e">
        <f t="shared" si="4"/>
        <v>#NAME?</v>
      </c>
    </row>
    <row r="11" spans="1:10" x14ac:dyDescent="0.25">
      <c r="A11">
        <v>10</v>
      </c>
      <c r="B11" t="e">
        <f>L_1*k_r^9</f>
        <v>#NAME?</v>
      </c>
      <c r="C11" t="e">
        <f t="shared" si="5"/>
        <v>#NAME?</v>
      </c>
      <c r="D11" t="e">
        <f t="shared" si="0"/>
        <v>#NAME?</v>
      </c>
      <c r="E11" t="e">
        <f t="shared" si="1"/>
        <v>#NAME?</v>
      </c>
      <c r="F11" t="e">
        <f t="shared" si="2"/>
        <v>#NAME?</v>
      </c>
      <c r="G11" t="e">
        <f t="shared" si="3"/>
        <v>#NAME?</v>
      </c>
      <c r="H11" t="s">
        <v>28</v>
      </c>
      <c r="I11" t="s">
        <v>29</v>
      </c>
      <c r="J11" t="e">
        <f t="shared" si="4"/>
        <v>#NAME?</v>
      </c>
    </row>
    <row r="12" spans="1:10" x14ac:dyDescent="0.25">
      <c r="A12">
        <v>11</v>
      </c>
      <c r="B12" t="e">
        <f>L_1*k_r^10</f>
        <v>#NAME?</v>
      </c>
      <c r="C12" t="e">
        <f t="shared" si="5"/>
        <v>#NAME?</v>
      </c>
      <c r="D12" t="e">
        <f t="shared" si="0"/>
        <v>#NAME?</v>
      </c>
      <c r="E12" t="e">
        <f t="shared" si="1"/>
        <v>#NAME?</v>
      </c>
      <c r="F12" t="e">
        <f t="shared" si="2"/>
        <v>#NAME?</v>
      </c>
      <c r="G12" t="e">
        <f t="shared" si="3"/>
        <v>#NAME?</v>
      </c>
      <c r="H12" t="s">
        <v>30</v>
      </c>
      <c r="I12" t="s">
        <v>31</v>
      </c>
      <c r="J12" t="e">
        <f t="shared" si="4"/>
        <v>#NAME?</v>
      </c>
    </row>
    <row r="13" spans="1:10" x14ac:dyDescent="0.25">
      <c r="A13">
        <v>12</v>
      </c>
      <c r="B13" t="e">
        <f>L_1*k_r^11</f>
        <v>#NAME?</v>
      </c>
      <c r="C13" t="e">
        <f t="shared" si="5"/>
        <v>#NAME?</v>
      </c>
      <c r="D13" t="e">
        <f t="shared" si="0"/>
        <v>#NAME?</v>
      </c>
      <c r="E13" t="e">
        <f t="shared" si="1"/>
        <v>#NAME?</v>
      </c>
      <c r="F13" t="e">
        <f t="shared" si="2"/>
        <v>#NAME?</v>
      </c>
      <c r="G13" t="e">
        <f t="shared" si="3"/>
        <v>#NAME?</v>
      </c>
      <c r="H13" t="s">
        <v>32</v>
      </c>
      <c r="I13" t="s">
        <v>33</v>
      </c>
      <c r="J13" t="e">
        <f t="shared" si="4"/>
        <v>#NAME?</v>
      </c>
    </row>
    <row r="15" spans="1:10" x14ac:dyDescent="0.25">
      <c r="A15" t="s">
        <v>34</v>
      </c>
    </row>
    <row r="16" spans="1:10" x14ac:dyDescent="0.25">
      <c r="A16" t="s">
        <v>35</v>
      </c>
      <c r="B16" t="s">
        <v>36</v>
      </c>
      <c r="C16" t="s">
        <v>37</v>
      </c>
      <c r="D16" t="s">
        <v>38</v>
      </c>
    </row>
    <row r="17" spans="1:13" x14ac:dyDescent="0.25">
      <c r="A17" t="s">
        <v>39</v>
      </c>
      <c r="B17">
        <v>3</v>
      </c>
      <c r="D17" t="s">
        <v>40</v>
      </c>
    </row>
    <row r="18" spans="1:13" x14ac:dyDescent="0.25">
      <c r="A18" t="s">
        <v>41</v>
      </c>
      <c r="B18">
        <v>10000</v>
      </c>
      <c r="D18" t="s">
        <v>42</v>
      </c>
    </row>
    <row r="19" spans="1:13" x14ac:dyDescent="0.25">
      <c r="A19" t="s">
        <v>43</v>
      </c>
      <c r="B19">
        <v>1000</v>
      </c>
      <c r="D19" t="s">
        <v>44</v>
      </c>
    </row>
    <row r="20" spans="1:13" x14ac:dyDescent="0.25">
      <c r="A20" t="s">
        <v>45</v>
      </c>
      <c r="B20">
        <v>1.1499999999999999</v>
      </c>
      <c r="D20" t="s">
        <v>46</v>
      </c>
    </row>
    <row r="21" spans="1:13" x14ac:dyDescent="0.25">
      <c r="A21" t="s">
        <v>47</v>
      </c>
      <c r="B21">
        <v>30</v>
      </c>
      <c r="D21" t="s">
        <v>48</v>
      </c>
    </row>
    <row r="22" spans="1:13" x14ac:dyDescent="0.25">
      <c r="A22" t="s">
        <v>49</v>
      </c>
      <c r="B22">
        <v>200</v>
      </c>
      <c r="D22" t="s">
        <v>50</v>
      </c>
    </row>
    <row r="23" spans="1:13" x14ac:dyDescent="0.25">
      <c r="A23" t="s">
        <v>51</v>
      </c>
      <c r="B23">
        <v>40</v>
      </c>
      <c r="D23" t="s">
        <v>52</v>
      </c>
    </row>
    <row r="24" spans="1:13" x14ac:dyDescent="0.25">
      <c r="A24" t="s">
        <v>53</v>
      </c>
      <c r="B24">
        <v>0.95</v>
      </c>
      <c r="D24" t="s">
        <v>54</v>
      </c>
    </row>
    <row r="25" spans="1:13" x14ac:dyDescent="0.25">
      <c r="A25" t="s">
        <v>55</v>
      </c>
      <c r="B25">
        <v>0.15</v>
      </c>
      <c r="D25" t="s">
        <v>56</v>
      </c>
    </row>
    <row r="26" spans="1:13" x14ac:dyDescent="0.25">
      <c r="A26" t="s">
        <v>57</v>
      </c>
      <c r="B26">
        <v>0.15</v>
      </c>
      <c r="D26" t="s">
        <v>58</v>
      </c>
    </row>
    <row r="27" spans="1:13" x14ac:dyDescent="0.25">
      <c r="A27" t="s">
        <v>59</v>
      </c>
      <c r="B27">
        <v>7071.07</v>
      </c>
      <c r="C27" t="e">
        <f>w_chip_um/SQRT(2)</f>
        <v>#NAME?</v>
      </c>
      <c r="D27" t="s">
        <v>60</v>
      </c>
    </row>
    <row r="28" spans="1:13" x14ac:dyDescent="0.25">
      <c r="A28" t="s">
        <v>61</v>
      </c>
      <c r="B28">
        <v>5911.07</v>
      </c>
      <c r="C28" t="e">
        <f>R_base_um-R_cyl_um-(N_stages+1)*w_is_um</f>
        <v>#NAME?</v>
      </c>
      <c r="D28" t="s">
        <v>62</v>
      </c>
    </row>
    <row r="29" spans="1:13" x14ac:dyDescent="0.25">
      <c r="A29" t="s">
        <v>63</v>
      </c>
      <c r="B29">
        <v>1719.94</v>
      </c>
      <c r="C29" t="s">
        <v>64</v>
      </c>
      <c r="D29" t="s">
        <v>65</v>
      </c>
    </row>
    <row r="31" spans="1:13" x14ac:dyDescent="0.25">
      <c r="A31" t="s">
        <v>66</v>
      </c>
    </row>
    <row r="32" spans="1:13" x14ac:dyDescent="0.25">
      <c r="A32" t="s">
        <v>39</v>
      </c>
      <c r="B32" t="s">
        <v>67</v>
      </c>
      <c r="C32" t="s">
        <v>68</v>
      </c>
      <c r="D32" t="s">
        <v>69</v>
      </c>
      <c r="E32" t="s">
        <v>70</v>
      </c>
      <c r="F32" t="s">
        <v>71</v>
      </c>
      <c r="G32" t="s">
        <v>72</v>
      </c>
      <c r="H32" t="s">
        <v>73</v>
      </c>
      <c r="I32" t="s">
        <v>74</v>
      </c>
      <c r="J32" t="s">
        <v>75</v>
      </c>
      <c r="K32" t="s">
        <v>76</v>
      </c>
      <c r="L32" t="s">
        <v>77</v>
      </c>
      <c r="M32" t="s">
        <v>78</v>
      </c>
    </row>
    <row r="33" spans="1:13" x14ac:dyDescent="0.25">
      <c r="A33">
        <v>1</v>
      </c>
      <c r="B33">
        <v>5871.07</v>
      </c>
    </row>
    <row r="34" spans="1:13" x14ac:dyDescent="0.25">
      <c r="A34">
        <v>2</v>
      </c>
      <c r="B34">
        <v>2724.22</v>
      </c>
      <c r="C34">
        <v>3132.86</v>
      </c>
    </row>
    <row r="35" spans="1:13" x14ac:dyDescent="0.25">
      <c r="A35">
        <v>3</v>
      </c>
      <c r="B35">
        <v>1719.94</v>
      </c>
      <c r="C35">
        <v>1977.93</v>
      </c>
      <c r="D35">
        <v>2274.62</v>
      </c>
    </row>
    <row r="36" spans="1:13" x14ac:dyDescent="0.25">
      <c r="A36">
        <v>4</v>
      </c>
      <c r="B36">
        <v>1218.6099999999999</v>
      </c>
      <c r="C36">
        <v>1401.4</v>
      </c>
      <c r="D36">
        <v>1611.61</v>
      </c>
      <c r="E36">
        <v>1853.35</v>
      </c>
    </row>
    <row r="37" spans="1:13" x14ac:dyDescent="0.25">
      <c r="A37">
        <v>5</v>
      </c>
      <c r="B37">
        <v>923.21</v>
      </c>
      <c r="C37">
        <v>1061.69</v>
      </c>
      <c r="D37">
        <v>1220.94</v>
      </c>
      <c r="E37">
        <v>1404.08</v>
      </c>
      <c r="F37">
        <v>1614.7</v>
      </c>
    </row>
    <row r="38" spans="1:13" x14ac:dyDescent="0.25">
      <c r="A38">
        <v>6</v>
      </c>
      <c r="B38">
        <v>729.54</v>
      </c>
      <c r="C38">
        <v>839</v>
      </c>
      <c r="D38">
        <v>964.8</v>
      </c>
      <c r="E38">
        <v>1109.52</v>
      </c>
      <c r="F38">
        <v>1275.95</v>
      </c>
      <c r="G38">
        <v>1467.34</v>
      </c>
    </row>
    <row r="39" spans="1:13" x14ac:dyDescent="0.25">
      <c r="A39">
        <v>7</v>
      </c>
      <c r="B39">
        <v>594.86</v>
      </c>
      <c r="C39">
        <v>684.09</v>
      </c>
      <c r="D39">
        <v>786.7</v>
      </c>
      <c r="E39">
        <v>904.71</v>
      </c>
      <c r="F39">
        <v>1040.4100000000001</v>
      </c>
      <c r="G39">
        <v>1196.48</v>
      </c>
      <c r="H39">
        <v>1375.95</v>
      </c>
    </row>
    <row r="40" spans="1:13" x14ac:dyDescent="0.25">
      <c r="A40">
        <v>8</v>
      </c>
      <c r="B40">
        <v>496.58</v>
      </c>
      <c r="C40">
        <v>571.07000000000005</v>
      </c>
      <c r="D40">
        <v>656.73</v>
      </c>
      <c r="E40">
        <v>755.24</v>
      </c>
      <c r="F40">
        <v>868.53</v>
      </c>
      <c r="G40">
        <v>998.81</v>
      </c>
      <c r="H40">
        <v>1148.6300000000001</v>
      </c>
      <c r="I40">
        <v>1320.93</v>
      </c>
    </row>
    <row r="41" spans="1:13" x14ac:dyDescent="0.25">
      <c r="A41">
        <v>9</v>
      </c>
      <c r="B41">
        <v>421.73</v>
      </c>
      <c r="C41">
        <v>485</v>
      </c>
      <c r="D41">
        <v>557.74</v>
      </c>
      <c r="E41">
        <v>641.41</v>
      </c>
      <c r="F41">
        <v>737.62</v>
      </c>
      <c r="G41">
        <v>848.26</v>
      </c>
      <c r="H41">
        <v>975.5</v>
      </c>
      <c r="I41">
        <v>1121.82</v>
      </c>
      <c r="J41">
        <v>1290.0999999999999</v>
      </c>
    </row>
    <row r="42" spans="1:13" x14ac:dyDescent="0.25">
      <c r="A42">
        <v>10</v>
      </c>
      <c r="B42">
        <v>363.18</v>
      </c>
      <c r="C42">
        <v>417.66</v>
      </c>
      <c r="D42">
        <v>480.31</v>
      </c>
      <c r="E42">
        <v>552.36</v>
      </c>
      <c r="F42">
        <v>635.21</v>
      </c>
      <c r="G42">
        <v>730.49</v>
      </c>
      <c r="H42">
        <v>840.06</v>
      </c>
      <c r="I42">
        <v>966.07</v>
      </c>
      <c r="J42">
        <v>1110.98</v>
      </c>
      <c r="K42">
        <v>1277.6300000000001</v>
      </c>
    </row>
    <row r="43" spans="1:13" x14ac:dyDescent="0.25">
      <c r="A43">
        <v>11</v>
      </c>
      <c r="B43">
        <v>316.23</v>
      </c>
      <c r="C43">
        <v>363.67</v>
      </c>
      <c r="D43">
        <v>418.22</v>
      </c>
      <c r="E43">
        <v>480.95</v>
      </c>
      <c r="F43">
        <v>553.09</v>
      </c>
      <c r="G43">
        <v>636.05999999999995</v>
      </c>
      <c r="H43">
        <v>731.47</v>
      </c>
      <c r="I43">
        <v>841.19</v>
      </c>
      <c r="J43">
        <v>967.37</v>
      </c>
      <c r="K43">
        <v>1112.47</v>
      </c>
      <c r="L43">
        <v>1279.3399999999999</v>
      </c>
    </row>
    <row r="44" spans="1:13" x14ac:dyDescent="0.25">
      <c r="A44">
        <v>12</v>
      </c>
      <c r="B44">
        <v>278.18</v>
      </c>
      <c r="C44">
        <v>319.91000000000003</v>
      </c>
      <c r="D44">
        <v>367.89</v>
      </c>
      <c r="E44">
        <v>423.08</v>
      </c>
      <c r="F44">
        <v>486.54</v>
      </c>
      <c r="G44">
        <v>559.52</v>
      </c>
      <c r="H44">
        <v>643.45000000000005</v>
      </c>
      <c r="I44">
        <v>739.97</v>
      </c>
      <c r="J44">
        <v>851.07</v>
      </c>
      <c r="K44">
        <v>978.73</v>
      </c>
      <c r="L44">
        <v>1125.54</v>
      </c>
      <c r="M44">
        <v>1294.3699999999999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SW_Stage_Formulas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Nuwantha Kumara</dc:creator>
  <cp:lastModifiedBy>Nuwantha Kumara</cp:lastModifiedBy>
  <dcterms:created xsi:type="dcterms:W3CDTF">2025-11-27T11:25:48Z</dcterms:created>
  <dcterms:modified xsi:type="dcterms:W3CDTF">2025-11-27T11:26:31Z</dcterms:modified>
</cp:coreProperties>
</file>